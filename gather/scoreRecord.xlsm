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iaoniu29\pipenv1\"/>
    </mc:Choice>
  </mc:AlternateContent>
  <bookViews>
    <workbookView xWindow="0" yWindow="0" windowWidth="21600" windowHeight="9840"/>
  </bookViews>
  <sheets>
    <sheet name="成绩录入" sheetId="1" r:id="rId1"/>
  </sheets>
  <externalReferences>
    <externalReference r:id="rId2"/>
  </externalReferences>
  <definedNames>
    <definedName name="AVE">成绩录入!$L$5:$L$49</definedName>
    <definedName name="实验项目">[1]数据源!$A$2:$A$9</definedName>
    <definedName name="选择项">[1]数据源!$C$2:$C$6</definedName>
  </definedNames>
  <calcPr calcId="162913"/>
</workbook>
</file>

<file path=xl/calcChain.xml><?xml version="1.0" encoding="utf-8"?>
<calcChain xmlns="http://schemas.openxmlformats.org/spreadsheetml/2006/main">
  <c r="M50" i="1" l="1"/>
  <c r="L50" i="1"/>
  <c r="K50" i="1"/>
  <c r="M49" i="1"/>
  <c r="L49" i="1"/>
  <c r="K49" i="1"/>
  <c r="M48" i="1"/>
  <c r="L48" i="1"/>
  <c r="K48" i="1"/>
  <c r="M47" i="1"/>
  <c r="L47" i="1"/>
  <c r="K47" i="1"/>
  <c r="M46" i="1"/>
  <c r="L46" i="1"/>
  <c r="K46" i="1"/>
  <c r="M45" i="1"/>
  <c r="L45" i="1"/>
  <c r="K45" i="1"/>
  <c r="M44" i="1"/>
  <c r="L44" i="1"/>
  <c r="K44" i="1"/>
  <c r="M43" i="1"/>
  <c r="L43" i="1"/>
  <c r="K43" i="1"/>
  <c r="M42" i="1"/>
  <c r="L42" i="1"/>
  <c r="K42" i="1"/>
  <c r="M41" i="1"/>
  <c r="L41" i="1"/>
  <c r="K41" i="1"/>
  <c r="M40" i="1"/>
  <c r="L40" i="1"/>
  <c r="K40" i="1"/>
  <c r="M39" i="1"/>
  <c r="L39" i="1"/>
  <c r="K39" i="1"/>
  <c r="M38" i="1"/>
  <c r="L38" i="1"/>
  <c r="K38" i="1"/>
  <c r="M37" i="1"/>
  <c r="L37" i="1"/>
  <c r="K37" i="1"/>
  <c r="M36" i="1"/>
  <c r="L36" i="1"/>
  <c r="K36" i="1"/>
  <c r="M35" i="1"/>
  <c r="L35" i="1"/>
  <c r="K35" i="1"/>
  <c r="M34" i="1"/>
  <c r="L34" i="1"/>
  <c r="K34" i="1"/>
  <c r="M33" i="1"/>
  <c r="L33" i="1"/>
  <c r="K33" i="1"/>
  <c r="M32" i="1"/>
  <c r="L32" i="1"/>
  <c r="K32" i="1"/>
  <c r="M31" i="1"/>
  <c r="L31" i="1"/>
  <c r="K31" i="1"/>
  <c r="M30" i="1"/>
  <c r="L30" i="1"/>
  <c r="K30" i="1"/>
  <c r="M29" i="1"/>
  <c r="L29" i="1"/>
  <c r="K29" i="1"/>
  <c r="M28" i="1"/>
  <c r="L28" i="1"/>
  <c r="K28" i="1"/>
  <c r="M27" i="1"/>
  <c r="L27" i="1"/>
  <c r="K27" i="1"/>
  <c r="M26" i="1"/>
  <c r="L26" i="1"/>
  <c r="K26" i="1"/>
  <c r="M25" i="1"/>
  <c r="L25" i="1"/>
  <c r="K25" i="1"/>
  <c r="M24" i="1"/>
  <c r="L24" i="1"/>
  <c r="K24" i="1"/>
  <c r="M23" i="1"/>
  <c r="L23" i="1"/>
  <c r="K23" i="1"/>
  <c r="M22" i="1"/>
  <c r="L22" i="1"/>
  <c r="K22" i="1"/>
  <c r="M21" i="1"/>
  <c r="L21" i="1"/>
  <c r="K21" i="1"/>
  <c r="M20" i="1"/>
  <c r="L20" i="1"/>
  <c r="K20" i="1"/>
  <c r="M19" i="1"/>
  <c r="L19" i="1"/>
  <c r="K19" i="1"/>
  <c r="M18" i="1"/>
  <c r="L18" i="1"/>
  <c r="K18" i="1"/>
  <c r="M17" i="1"/>
  <c r="L17" i="1"/>
  <c r="K17" i="1"/>
  <c r="M16" i="1"/>
  <c r="L16" i="1"/>
  <c r="K16" i="1"/>
  <c r="M15" i="1"/>
  <c r="L15" i="1"/>
  <c r="K15" i="1"/>
  <c r="M14" i="1"/>
  <c r="L14" i="1"/>
  <c r="K14" i="1"/>
  <c r="M13" i="1"/>
  <c r="L13" i="1"/>
  <c r="K13" i="1"/>
  <c r="M12" i="1"/>
  <c r="L12" i="1"/>
  <c r="K12" i="1"/>
  <c r="M11" i="1"/>
  <c r="L11" i="1"/>
  <c r="K11" i="1"/>
  <c r="M10" i="1"/>
  <c r="L10" i="1"/>
  <c r="K10" i="1"/>
  <c r="M9" i="1"/>
  <c r="L9" i="1"/>
  <c r="K9" i="1"/>
  <c r="M8" i="1"/>
  <c r="L8" i="1"/>
  <c r="K8" i="1"/>
  <c r="M7" i="1"/>
  <c r="L7" i="1"/>
  <c r="K7" i="1"/>
  <c r="M6" i="1"/>
  <c r="L6" i="1"/>
  <c r="K6" i="1"/>
  <c r="M5" i="1"/>
  <c r="L5" i="1"/>
  <c r="K5" i="1"/>
  <c r="M4" i="1"/>
  <c r="L4" i="1"/>
  <c r="A1" i="1"/>
  <c r="A2" i="1" s="1"/>
</calcChain>
</file>

<file path=xl/sharedStrings.xml><?xml version="1.0" encoding="utf-8"?>
<sst xmlns="http://schemas.openxmlformats.org/spreadsheetml/2006/main" count="5" uniqueCount="5">
  <si>
    <t>物理实验成绩单</t>
  </si>
  <si>
    <t>班级：</t>
  </si>
  <si>
    <t xml:space="preserve">            实验
   姓名</t>
  </si>
  <si>
    <t>总分</t>
  </si>
  <si>
    <t>平均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</si>
</sst>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0_ "/>
    <numFmt numFmtId="177" formatCode="0;[Red]0"/>
    <numFmt numFmtId="178" formatCode="0_);\(0\)"/>
  </numFmts>
  <fonts count="11">
    <font>
      <sz val="12"/>
      <name val="宋体"/>
      <charset val="134"/>
    </font>
    <font>
      <sz val="16"/>
      <name val="华文仿宋"/>
      <family val="3"/>
      <charset val="134"/>
    </font>
    <font>
      <sz val="12"/>
      <color indexed="10"/>
      <name val="楷体_GB2312"/>
      <charset val="134"/>
    </font>
    <font>
      <sz val="12"/>
      <color indexed="10"/>
      <name val="宋体"/>
      <family val="3"/>
      <charset val="134"/>
    </font>
    <font>
      <sz val="10"/>
      <name val="方正姚体"/>
      <family val="3"/>
      <charset val="134"/>
    </font>
    <font>
      <sz val="9"/>
      <name val="宋体"/>
      <family val="3"/>
      <charset val="134"/>
    </font>
    <font>
      <sz val="11"/>
      <name val="方正姚体"/>
      <family val="3"/>
      <charset val="134"/>
    </font>
    <font>
      <sz val="10"/>
      <name val="宋体"/>
      <family val="3"/>
      <charset val="134"/>
    </font>
    <font>
      <sz val="12"/>
      <name val="华文楷体"/>
      <family val="3"/>
      <charset val="134"/>
    </font>
    <font>
      <sz val="11"/>
      <name val="宋体"/>
      <family val="3"/>
      <charset val="134"/>
    </font>
    <font>
      <sz val="12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89013336588644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medium">
        <color auto="1"/>
      </bottom>
      <diagonal/>
    </border>
    <border diagonalDown="1">
      <left style="medium">
        <color auto="1"/>
      </left>
      <right style="double">
        <color auto="1"/>
      </right>
      <top style="medium">
        <color auto="1"/>
      </top>
      <bottom/>
      <diagonal style="thin">
        <color auto="1"/>
      </diagonal>
    </border>
    <border>
      <left style="double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 diagonalDown="1">
      <left style="medium">
        <color auto="1"/>
      </left>
      <right style="double">
        <color auto="1"/>
      </right>
      <top/>
      <bottom style="double">
        <color auto="1"/>
      </bottom>
      <diagonal style="thin">
        <color auto="1"/>
      </diagonal>
    </border>
    <border>
      <left style="double">
        <color auto="1"/>
      </left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 style="medium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thin">
        <color auto="1"/>
      </top>
      <bottom style="medium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double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49" fontId="0" fillId="0" borderId="0" xfId="0" applyNumberForma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>
      <alignment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NumberFormat="1">
      <alignment vertical="center"/>
    </xf>
    <xf numFmtId="49" fontId="0" fillId="0" borderId="1" xfId="0" applyNumberFormat="1" applyFont="1" applyBorder="1" applyAlignment="1" applyProtection="1">
      <alignment horizontal="center"/>
    </xf>
    <xf numFmtId="49" fontId="0" fillId="0" borderId="1" xfId="0" applyNumberFormat="1" applyFont="1" applyBorder="1" applyAlignment="1" applyProtection="1"/>
    <xf numFmtId="49" fontId="2" fillId="0" borderId="1" xfId="0" applyNumberFormat="1" applyFont="1" applyBorder="1" applyAlignment="1" applyProtection="1"/>
    <xf numFmtId="176" fontId="3" fillId="0" borderId="1" xfId="0" applyNumberFormat="1" applyFont="1" applyBorder="1" applyAlignment="1" applyProtection="1">
      <alignment horizontal="center"/>
    </xf>
    <xf numFmtId="0" fontId="0" fillId="0" borderId="0" xfId="0" applyNumberFormat="1" applyProtection="1">
      <alignment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177" fontId="0" fillId="0" borderId="9" xfId="0" applyNumberFormat="1" applyBorder="1" applyAlignment="1" applyProtection="1">
      <alignment horizontal="center" vertical="center"/>
      <protection locked="0"/>
    </xf>
    <xf numFmtId="177" fontId="0" fillId="0" borderId="10" xfId="0" applyNumberFormat="1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177" fontId="0" fillId="0" borderId="12" xfId="0" applyNumberFormat="1" applyBorder="1" applyAlignment="1" applyProtection="1">
      <alignment horizontal="center" vertical="center"/>
      <protection locked="0"/>
    </xf>
    <xf numFmtId="177" fontId="0" fillId="0" borderId="13" xfId="0" applyNumberFormat="1" applyBorder="1" applyAlignment="1" applyProtection="1">
      <alignment horizontal="center" vertical="center"/>
      <protection locked="0"/>
    </xf>
    <xf numFmtId="0" fontId="0" fillId="0" borderId="14" xfId="0" applyBorder="1" applyAlignment="1" applyProtection="1">
      <alignment horizontal="center" vertical="center"/>
      <protection locked="0"/>
    </xf>
    <xf numFmtId="177" fontId="0" fillId="0" borderId="15" xfId="0" applyNumberFormat="1" applyBorder="1" applyAlignment="1" applyProtection="1">
      <alignment horizontal="center" vertical="center"/>
      <protection locked="0"/>
    </xf>
    <xf numFmtId="177" fontId="0" fillId="0" borderId="16" xfId="0" applyNumberFormat="1" applyBorder="1" applyAlignment="1" applyProtection="1">
      <alignment horizontal="center"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49" fontId="8" fillId="0" borderId="18" xfId="0" applyNumberFormat="1" applyFont="1" applyFill="1" applyBorder="1" applyAlignment="1" applyProtection="1">
      <alignment horizontal="center" vertical="center" wrapText="1"/>
    </xf>
    <xf numFmtId="177" fontId="4" fillId="0" borderId="20" xfId="0" applyNumberFormat="1" applyFont="1" applyBorder="1" applyAlignment="1">
      <alignment horizontal="center" vertical="center"/>
    </xf>
    <xf numFmtId="178" fontId="0" fillId="0" borderId="0" xfId="0" applyNumberFormat="1" applyProtection="1">
      <alignment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2" borderId="9" xfId="0" applyFill="1" applyBorder="1" applyAlignment="1" applyProtection="1">
      <alignment horizontal="center" vertical="center"/>
    </xf>
    <xf numFmtId="176" fontId="0" fillId="2" borderId="22" xfId="0" applyNumberFormat="1" applyFont="1" applyFill="1" applyBorder="1" applyAlignment="1" applyProtection="1">
      <alignment horizontal="center" vertical="center"/>
    </xf>
    <xf numFmtId="176" fontId="0" fillId="0" borderId="23" xfId="0" applyNumberFormat="1" applyFont="1" applyFill="1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0" fontId="0" fillId="2" borderId="12" xfId="0" applyFill="1" applyBorder="1" applyAlignment="1" applyProtection="1">
      <alignment horizontal="center" vertical="center"/>
    </xf>
    <xf numFmtId="176" fontId="0" fillId="2" borderId="25" xfId="0" applyNumberFormat="1" applyFont="1" applyFill="1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  <protection locked="0"/>
    </xf>
    <xf numFmtId="0" fontId="0" fillId="2" borderId="15" xfId="0" applyFill="1" applyBorder="1" applyAlignment="1" applyProtection="1">
      <alignment horizontal="center" vertical="center"/>
    </xf>
    <xf numFmtId="176" fontId="0" fillId="2" borderId="27" xfId="0" applyNumberFormat="1" applyFont="1" applyFill="1" applyBorder="1" applyAlignment="1" applyProtection="1">
      <alignment horizontal="center" vertical="center"/>
    </xf>
    <xf numFmtId="0" fontId="9" fillId="0" borderId="0" xfId="0" applyFont="1" applyProtection="1">
      <alignment vertical="center"/>
    </xf>
    <xf numFmtId="49" fontId="1" fillId="0" borderId="0" xfId="0" applyNumberFormat="1" applyFont="1" applyAlignment="1" applyProtection="1">
      <alignment horizontal="center"/>
      <protection locked="0"/>
    </xf>
    <xf numFmtId="49" fontId="6" fillId="0" borderId="1" xfId="0" applyNumberFormat="1" applyFont="1" applyBorder="1" applyAlignment="1" applyProtection="1">
      <alignment horizontal="center"/>
    </xf>
    <xf numFmtId="0" fontId="7" fillId="0" borderId="1" xfId="0" applyNumberFormat="1" applyFont="1" applyBorder="1" applyAlignment="1" applyProtection="1">
      <alignment horizontal="center"/>
      <protection locked="0"/>
    </xf>
    <xf numFmtId="49" fontId="4" fillId="0" borderId="2" xfId="0" applyNumberFormat="1" applyFont="1" applyBorder="1" applyAlignment="1" applyProtection="1">
      <alignment horizontal="justify" vertical="center" wrapText="1"/>
    </xf>
    <xf numFmtId="49" fontId="4" fillId="0" borderId="5" xfId="0" applyNumberFormat="1" applyFont="1" applyBorder="1" applyAlignment="1" applyProtection="1">
      <alignment horizontal="justify" vertical="center" wrapText="1"/>
    </xf>
    <xf numFmtId="49" fontId="5" fillId="0" borderId="3" xfId="0" applyNumberFormat="1" applyFont="1" applyBorder="1" applyAlignment="1" applyProtection="1">
      <alignment horizontal="center" vertical="center" wrapText="1"/>
      <protection locked="0"/>
    </xf>
    <xf numFmtId="49" fontId="5" fillId="0" borderId="6" xfId="0" applyNumberFormat="1" applyFont="1" applyBorder="1" applyAlignment="1" applyProtection="1">
      <alignment horizontal="center" vertical="center" wrapText="1"/>
      <protection locked="0"/>
    </xf>
    <xf numFmtId="49" fontId="5" fillId="0" borderId="4" xfId="0" applyNumberFormat="1" applyFont="1" applyBorder="1" applyAlignment="1" applyProtection="1">
      <alignment horizontal="center" vertical="center" wrapText="1"/>
      <protection locked="0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0" borderId="17" xfId="0" applyNumberFormat="1" applyFont="1" applyBorder="1" applyAlignment="1" applyProtection="1">
      <alignment horizontal="center" vertical="center" wrapText="1"/>
      <protection locked="0"/>
    </xf>
    <xf numFmtId="49" fontId="5" fillId="0" borderId="19" xfId="0" applyNumberFormat="1" applyFont="1" applyBorder="1" applyAlignment="1" applyProtection="1">
      <alignment horizontal="center" vertical="center" wrapText="1"/>
      <protection locked="0"/>
    </xf>
    <xf numFmtId="49" fontId="8" fillId="0" borderId="3" xfId="0" applyNumberFormat="1" applyFont="1" applyBorder="1" applyAlignment="1" applyProtection="1">
      <alignment horizontal="center" vertical="center" wrapText="1"/>
    </xf>
    <xf numFmtId="49" fontId="8" fillId="0" borderId="6" xfId="0" applyNumberFormat="1" applyFont="1" applyBorder="1" applyAlignment="1" applyProtection="1">
      <alignment horizontal="center" vertical="center" wrapText="1"/>
    </xf>
  </cellXfs>
  <cellStyles count="1">
    <cellStyle name="常规" xfId="0" builtinId="0"/>
  </cellStyles>
  <dxfs count="6">
    <dxf>
      <font>
        <color indexed="10"/>
      </font>
    </dxf>
    <dxf>
      <font>
        <color indexed="12"/>
      </font>
    </dxf>
    <dxf>
      <font>
        <b/>
        <i val="0"/>
        <color indexed="38"/>
      </font>
    </dxf>
    <dxf>
      <font>
        <color indexed="10"/>
      </font>
    </dxf>
    <dxf>
      <font>
        <color indexed="12"/>
      </font>
    </dxf>
    <dxf>
      <font>
        <b/>
        <i val="0"/>
        <color indexed="3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3</xdr:row>
          <xdr:rowOff>0</xdr:rowOff>
        </xdr:from>
        <xdr:to>
          <xdr:col>14</xdr:col>
          <xdr:colOff>38100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同步成绩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/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0"/>
  <sheetViews>
    <sheetView tabSelected="1" topLeftCell="B1" workbookViewId="0">
      <selection activeCell="N4" sqref="N4"/>
    </sheetView>
  </sheetViews>
  <sheetFormatPr defaultColWidth="0" defaultRowHeight="14.25" zeroHeight="1"/>
  <cols>
    <col min="1" max="1" width="8.5" style="1" hidden="1" customWidth="1"/>
    <col min="2" max="2" width="9" style="2" customWidth="1"/>
    <col min="3" max="10" width="6.625" style="3" customWidth="1"/>
    <col min="11" max="12" width="9" style="3" customWidth="1"/>
    <col min="13" max="13" width="6.875" style="2" hidden="1" customWidth="1"/>
    <col min="14" max="14" width="9" style="4" customWidth="1"/>
    <col min="15" max="15" width="5.25" style="5" customWidth="1"/>
    <col min="16" max="16" width="5.25" style="2" hidden="1" customWidth="1"/>
    <col min="17" max="16384" width="9" style="3" hidden="1"/>
  </cols>
  <sheetData>
    <row r="1" spans="1:18" ht="18" customHeight="1">
      <c r="A1" s="6" t="e">
        <f>(M2-M3)/(MAX(AVE)-MIN(AVE))</f>
        <v>#DIV/0!</v>
      </c>
      <c r="B1" s="37" t="s">
        <v>0</v>
      </c>
      <c r="C1" s="37"/>
      <c r="D1" s="37"/>
      <c r="E1" s="37"/>
      <c r="F1" s="37"/>
      <c r="G1" s="37"/>
      <c r="H1" s="37"/>
      <c r="I1" s="37"/>
      <c r="J1" s="37"/>
      <c r="K1" s="37"/>
      <c r="L1" s="37"/>
      <c r="N1" s="3"/>
      <c r="O1" s="2"/>
    </row>
    <row r="2" spans="1:18" ht="18" customHeight="1">
      <c r="A2" s="6" t="e">
        <f>MIN(AVE)*A1-M3</f>
        <v>#DIV/0!</v>
      </c>
      <c r="B2" s="7"/>
      <c r="C2" s="8"/>
      <c r="D2" s="8"/>
      <c r="E2" s="8"/>
      <c r="F2" s="9"/>
      <c r="G2" s="9"/>
      <c r="H2" s="10"/>
      <c r="I2" s="38" t="s">
        <v>1</v>
      </c>
      <c r="J2" s="38"/>
      <c r="K2" s="39"/>
      <c r="L2" s="39"/>
      <c r="M2" s="5">
        <v>87</v>
      </c>
      <c r="N2" s="3"/>
      <c r="O2" s="2"/>
    </row>
    <row r="3" spans="1:18" ht="24" customHeight="1">
      <c r="A3" s="11"/>
      <c r="B3" s="40" t="s">
        <v>2</v>
      </c>
      <c r="C3" s="42"/>
      <c r="D3" s="44"/>
      <c r="E3" s="44"/>
      <c r="F3" s="44"/>
      <c r="G3" s="44"/>
      <c r="H3" s="44"/>
      <c r="I3" s="44"/>
      <c r="J3" s="46"/>
      <c r="K3" s="48" t="s">
        <v>3</v>
      </c>
      <c r="L3" s="23" t="s">
        <v>4</v>
      </c>
      <c r="M3" s="5">
        <v>60</v>
      </c>
      <c r="N3" s="2"/>
      <c r="O3" s="2"/>
    </row>
    <row r="4" spans="1:18" ht="24" customHeight="1">
      <c r="A4" s="11"/>
      <c r="B4" s="41"/>
      <c r="C4" s="43"/>
      <c r="D4" s="45"/>
      <c r="E4" s="45"/>
      <c r="F4" s="45"/>
      <c r="G4" s="45"/>
      <c r="H4" s="45"/>
      <c r="I4" s="45"/>
      <c r="J4" s="47"/>
      <c r="K4" s="49"/>
      <c r="L4" s="24" t="str">
        <f>ROUND(MAX(AVE),0)&amp;"/"&amp;ROUND(MIN(AVE),0)&amp;"/"&amp;COUNTIF(AVE,"&gt;=79.5")</f>
        <v>0/0/0</v>
      </c>
      <c r="M4" s="2">
        <f>COUNTIF(M5:M38,"&gt;=79.5")</f>
        <v>0</v>
      </c>
      <c r="N4" s="25">
        <v>5</v>
      </c>
      <c r="O4" s="2"/>
    </row>
    <row r="5" spans="1:18" ht="18" customHeight="1">
      <c r="A5" s="12"/>
      <c r="B5" s="13"/>
      <c r="C5" s="14"/>
      <c r="D5" s="15"/>
      <c r="E5" s="15"/>
      <c r="F5" s="15"/>
      <c r="G5" s="15"/>
      <c r="H5" s="15"/>
      <c r="I5" s="15"/>
      <c r="J5" s="26"/>
      <c r="K5" s="27" t="str">
        <f>IF(ISBLANK($C5),"",SUM($C5:J5))</f>
        <v/>
      </c>
      <c r="L5" s="28" t="str">
        <f>IF(ISBLANK(C5),"",AVERAGE(C5:J5)+H$2)</f>
        <v/>
      </c>
      <c r="M5" s="29" t="str">
        <f>IF(ISBLANK($C5),"",ROUND(L5*$A$1-$A$2,0))</f>
        <v/>
      </c>
      <c r="O5" s="4"/>
      <c r="P5" s="3"/>
    </row>
    <row r="6" spans="1:18" ht="18" customHeight="1">
      <c r="A6" s="12"/>
      <c r="B6" s="16"/>
      <c r="C6" s="17"/>
      <c r="D6" s="18"/>
      <c r="E6" s="18"/>
      <c r="F6" s="18"/>
      <c r="G6" s="18"/>
      <c r="H6" s="18"/>
      <c r="I6" s="18"/>
      <c r="J6" s="30"/>
      <c r="K6" s="31" t="str">
        <f>IF(ISBLANK($C6),"",SUM($C6:J6))</f>
        <v/>
      </c>
      <c r="L6" s="32" t="str">
        <f t="shared" ref="L6:L37" si="0">IF(ISBLANK(C6),"",AVERAGE(C6:J6)+H$2)</f>
        <v/>
      </c>
      <c r="M6" s="29" t="str">
        <f t="shared" ref="M6:M50" si="1">IF(ISBLANK($C6),"",ROUND(L6*$A$1-$A$2,0))</f>
        <v/>
      </c>
      <c r="O6" s="4"/>
      <c r="P6" s="3"/>
    </row>
    <row r="7" spans="1:18" ht="18" customHeight="1">
      <c r="A7" s="12"/>
      <c r="B7" s="16"/>
      <c r="C7" s="17"/>
      <c r="D7" s="18"/>
      <c r="E7" s="18"/>
      <c r="F7" s="18"/>
      <c r="G7" s="18"/>
      <c r="H7" s="18"/>
      <c r="I7" s="18"/>
      <c r="J7" s="30"/>
      <c r="K7" s="31" t="str">
        <f>IF(ISBLANK($C7),"",SUM($C7:J7))</f>
        <v/>
      </c>
      <c r="L7" s="32" t="str">
        <f t="shared" si="0"/>
        <v/>
      </c>
      <c r="M7" s="29" t="str">
        <f t="shared" si="1"/>
        <v/>
      </c>
      <c r="O7" s="4"/>
      <c r="P7" s="3"/>
    </row>
    <row r="8" spans="1:18" ht="18" customHeight="1">
      <c r="A8" s="12"/>
      <c r="B8" s="16"/>
      <c r="C8" s="17"/>
      <c r="D8" s="18"/>
      <c r="E8" s="18"/>
      <c r="F8" s="18"/>
      <c r="G8" s="18"/>
      <c r="H8" s="18"/>
      <c r="I8" s="18"/>
      <c r="J8" s="30"/>
      <c r="K8" s="31" t="str">
        <f>IF(ISBLANK($C8),"",SUM($C8:J8))</f>
        <v/>
      </c>
      <c r="L8" s="32" t="str">
        <f t="shared" si="0"/>
        <v/>
      </c>
      <c r="M8" s="29" t="str">
        <f t="shared" si="1"/>
        <v/>
      </c>
    </row>
    <row r="9" spans="1:18" ht="18" customHeight="1">
      <c r="A9" s="12"/>
      <c r="B9" s="16"/>
      <c r="C9" s="17"/>
      <c r="D9" s="18"/>
      <c r="E9" s="18"/>
      <c r="F9" s="18"/>
      <c r="G9" s="18"/>
      <c r="H9" s="18"/>
      <c r="I9" s="18"/>
      <c r="J9" s="30"/>
      <c r="K9" s="31" t="str">
        <f>IF(ISBLANK($C9),"",SUM($C9:J9))</f>
        <v/>
      </c>
      <c r="L9" s="32" t="str">
        <f t="shared" si="0"/>
        <v/>
      </c>
      <c r="M9" s="29" t="str">
        <f t="shared" si="1"/>
        <v/>
      </c>
    </row>
    <row r="10" spans="1:18" ht="18" customHeight="1">
      <c r="A10" s="12"/>
      <c r="B10" s="16"/>
      <c r="C10" s="17"/>
      <c r="D10" s="18"/>
      <c r="E10" s="18"/>
      <c r="F10" s="18"/>
      <c r="G10" s="18"/>
      <c r="H10" s="18"/>
      <c r="I10" s="18"/>
      <c r="J10" s="30"/>
      <c r="K10" s="31" t="str">
        <f>IF(ISBLANK($C10),"",SUM($C10:J10))</f>
        <v/>
      </c>
      <c r="L10" s="32" t="str">
        <f t="shared" si="0"/>
        <v/>
      </c>
      <c r="M10" s="29" t="str">
        <f t="shared" si="1"/>
        <v/>
      </c>
    </row>
    <row r="11" spans="1:18" ht="18" customHeight="1">
      <c r="A11" s="12"/>
      <c r="B11" s="16"/>
      <c r="C11" s="17"/>
      <c r="D11" s="18"/>
      <c r="E11" s="18"/>
      <c r="F11" s="18"/>
      <c r="G11" s="18"/>
      <c r="H11" s="18"/>
      <c r="I11" s="18"/>
      <c r="J11" s="30"/>
      <c r="K11" s="31" t="str">
        <f>IF(ISBLANK($C11),"",SUM($C11:J11))</f>
        <v/>
      </c>
      <c r="L11" s="32" t="str">
        <f t="shared" si="0"/>
        <v/>
      </c>
      <c r="M11" s="29" t="str">
        <f t="shared" si="1"/>
        <v/>
      </c>
    </row>
    <row r="12" spans="1:18" ht="18" customHeight="1">
      <c r="A12" s="12"/>
      <c r="B12" s="16"/>
      <c r="C12" s="17"/>
      <c r="D12" s="18"/>
      <c r="E12" s="18"/>
      <c r="F12" s="18"/>
      <c r="G12" s="18"/>
      <c r="H12" s="18"/>
      <c r="I12" s="18"/>
      <c r="J12" s="30"/>
      <c r="K12" s="31" t="str">
        <f>IF(ISBLANK($C12),"",SUM($C12:J12))</f>
        <v/>
      </c>
      <c r="L12" s="32" t="str">
        <f t="shared" si="0"/>
        <v/>
      </c>
      <c r="M12" s="29" t="str">
        <f t="shared" si="1"/>
        <v/>
      </c>
      <c r="R12" s="36"/>
    </row>
    <row r="13" spans="1:18" ht="18" customHeight="1">
      <c r="A13" s="12"/>
      <c r="B13" s="16"/>
      <c r="C13" s="17"/>
      <c r="D13" s="18"/>
      <c r="E13" s="18"/>
      <c r="F13" s="18"/>
      <c r="G13" s="18"/>
      <c r="H13" s="18"/>
      <c r="I13" s="18"/>
      <c r="J13" s="30"/>
      <c r="K13" s="31" t="str">
        <f>IF(ISBLANK($C13),"",SUM($C13:J13))</f>
        <v/>
      </c>
      <c r="L13" s="32" t="str">
        <f t="shared" si="0"/>
        <v/>
      </c>
      <c r="M13" s="29" t="str">
        <f t="shared" si="1"/>
        <v/>
      </c>
    </row>
    <row r="14" spans="1:18" ht="18" customHeight="1">
      <c r="A14" s="12"/>
      <c r="B14" s="16"/>
      <c r="C14" s="17"/>
      <c r="D14" s="18"/>
      <c r="E14" s="18"/>
      <c r="F14" s="18"/>
      <c r="G14" s="18"/>
      <c r="H14" s="18"/>
      <c r="I14" s="18"/>
      <c r="J14" s="30"/>
      <c r="K14" s="31" t="str">
        <f>IF(ISBLANK($C14),"",SUM($C14:J14))</f>
        <v/>
      </c>
      <c r="L14" s="32" t="str">
        <f t="shared" si="0"/>
        <v/>
      </c>
      <c r="M14" s="29" t="str">
        <f t="shared" si="1"/>
        <v/>
      </c>
    </row>
    <row r="15" spans="1:18" ht="18" customHeight="1">
      <c r="A15" s="12"/>
      <c r="B15" s="16"/>
      <c r="C15" s="17"/>
      <c r="D15" s="18"/>
      <c r="E15" s="18"/>
      <c r="F15" s="18"/>
      <c r="G15" s="18"/>
      <c r="H15" s="18"/>
      <c r="I15" s="18"/>
      <c r="J15" s="30"/>
      <c r="K15" s="31" t="str">
        <f>IF(ISBLANK($C15),"",SUM($C15:J15))</f>
        <v/>
      </c>
      <c r="L15" s="32" t="str">
        <f t="shared" si="0"/>
        <v/>
      </c>
      <c r="M15" s="29" t="str">
        <f t="shared" si="1"/>
        <v/>
      </c>
    </row>
    <row r="16" spans="1:18" ht="18" customHeight="1">
      <c r="A16" s="12"/>
      <c r="B16" s="16"/>
      <c r="C16" s="17"/>
      <c r="D16" s="18"/>
      <c r="E16" s="18"/>
      <c r="F16" s="18"/>
      <c r="G16" s="18"/>
      <c r="H16" s="18"/>
      <c r="I16" s="18"/>
      <c r="J16" s="30"/>
      <c r="K16" s="31" t="str">
        <f>IF(ISBLANK($C16),"",SUM($C16:J16))</f>
        <v/>
      </c>
      <c r="L16" s="32" t="str">
        <f t="shared" si="0"/>
        <v/>
      </c>
      <c r="M16" s="29" t="str">
        <f t="shared" si="1"/>
        <v/>
      </c>
    </row>
    <row r="17" spans="1:13" ht="18" customHeight="1">
      <c r="A17" s="12"/>
      <c r="B17" s="16"/>
      <c r="C17" s="17"/>
      <c r="D17" s="18"/>
      <c r="E17" s="18"/>
      <c r="F17" s="18"/>
      <c r="G17" s="18"/>
      <c r="H17" s="18"/>
      <c r="I17" s="18"/>
      <c r="J17" s="30"/>
      <c r="K17" s="31" t="str">
        <f>IF(ISBLANK($C17),"",SUM($C17:J17))</f>
        <v/>
      </c>
      <c r="L17" s="32" t="str">
        <f t="shared" si="0"/>
        <v/>
      </c>
      <c r="M17" s="29" t="str">
        <f t="shared" si="1"/>
        <v/>
      </c>
    </row>
    <row r="18" spans="1:13" ht="18" customHeight="1">
      <c r="A18" s="12"/>
      <c r="B18" s="16"/>
      <c r="C18" s="17"/>
      <c r="D18" s="18"/>
      <c r="E18" s="18"/>
      <c r="F18" s="18"/>
      <c r="G18" s="18"/>
      <c r="H18" s="18"/>
      <c r="I18" s="18"/>
      <c r="J18" s="30"/>
      <c r="K18" s="31" t="str">
        <f>IF(ISBLANK($C18),"",SUM($C18:J18))</f>
        <v/>
      </c>
      <c r="L18" s="32" t="str">
        <f t="shared" si="0"/>
        <v/>
      </c>
      <c r="M18" s="29" t="str">
        <f t="shared" si="1"/>
        <v/>
      </c>
    </row>
    <row r="19" spans="1:13" ht="18" customHeight="1">
      <c r="A19" s="12"/>
      <c r="B19" s="16"/>
      <c r="C19" s="17"/>
      <c r="D19" s="18"/>
      <c r="E19" s="18"/>
      <c r="F19" s="18"/>
      <c r="G19" s="18"/>
      <c r="H19" s="18"/>
      <c r="I19" s="18"/>
      <c r="J19" s="30"/>
      <c r="K19" s="31" t="str">
        <f>IF(ISBLANK($C19),"",SUM($C19:J19))</f>
        <v/>
      </c>
      <c r="L19" s="32" t="str">
        <f t="shared" si="0"/>
        <v/>
      </c>
      <c r="M19" s="29" t="str">
        <f t="shared" si="1"/>
        <v/>
      </c>
    </row>
    <row r="20" spans="1:13" ht="18" customHeight="1">
      <c r="A20" s="12"/>
      <c r="B20" s="16"/>
      <c r="C20" s="17"/>
      <c r="D20" s="18"/>
      <c r="E20" s="18"/>
      <c r="F20" s="18"/>
      <c r="G20" s="18"/>
      <c r="H20" s="18"/>
      <c r="I20" s="18"/>
      <c r="J20" s="30"/>
      <c r="K20" s="31" t="str">
        <f>IF(ISBLANK($C20),"",SUM($C20:J20))</f>
        <v/>
      </c>
      <c r="L20" s="32" t="str">
        <f t="shared" si="0"/>
        <v/>
      </c>
      <c r="M20" s="29" t="str">
        <f t="shared" si="1"/>
        <v/>
      </c>
    </row>
    <row r="21" spans="1:13" ht="18" customHeight="1">
      <c r="A21" s="12"/>
      <c r="B21" s="16"/>
      <c r="C21" s="17"/>
      <c r="D21" s="18"/>
      <c r="E21" s="18"/>
      <c r="F21" s="18"/>
      <c r="G21" s="18"/>
      <c r="H21" s="18"/>
      <c r="I21" s="18"/>
      <c r="J21" s="30"/>
      <c r="K21" s="31" t="str">
        <f>IF(ISBLANK($C21),"",SUM($C21:J21))</f>
        <v/>
      </c>
      <c r="L21" s="32" t="str">
        <f t="shared" si="0"/>
        <v/>
      </c>
      <c r="M21" s="29" t="str">
        <f t="shared" si="1"/>
        <v/>
      </c>
    </row>
    <row r="22" spans="1:13" ht="18" customHeight="1">
      <c r="A22" s="12"/>
      <c r="B22" s="16"/>
      <c r="C22" s="17"/>
      <c r="D22" s="18"/>
      <c r="E22" s="18"/>
      <c r="F22" s="18"/>
      <c r="G22" s="18"/>
      <c r="H22" s="18"/>
      <c r="I22" s="18"/>
      <c r="J22" s="30"/>
      <c r="K22" s="31" t="str">
        <f>IF(ISBLANK($C22),"",SUM($C22:J22))</f>
        <v/>
      </c>
      <c r="L22" s="32" t="str">
        <f t="shared" si="0"/>
        <v/>
      </c>
      <c r="M22" s="29" t="str">
        <f t="shared" si="1"/>
        <v/>
      </c>
    </row>
    <row r="23" spans="1:13" ht="18" customHeight="1">
      <c r="A23" s="12"/>
      <c r="B23" s="16"/>
      <c r="C23" s="17"/>
      <c r="D23" s="18"/>
      <c r="E23" s="18"/>
      <c r="F23" s="18"/>
      <c r="G23" s="18"/>
      <c r="H23" s="18"/>
      <c r="I23" s="18"/>
      <c r="J23" s="30"/>
      <c r="K23" s="31" t="str">
        <f>IF(ISBLANK($C23),"",SUM($C23:J23))</f>
        <v/>
      </c>
      <c r="L23" s="32" t="str">
        <f t="shared" si="0"/>
        <v/>
      </c>
      <c r="M23" s="29" t="str">
        <f t="shared" si="1"/>
        <v/>
      </c>
    </row>
    <row r="24" spans="1:13" ht="18" customHeight="1">
      <c r="A24" s="12"/>
      <c r="B24" s="16"/>
      <c r="C24" s="17"/>
      <c r="D24" s="18"/>
      <c r="E24" s="18"/>
      <c r="F24" s="18"/>
      <c r="G24" s="18"/>
      <c r="H24" s="18"/>
      <c r="I24" s="18"/>
      <c r="J24" s="30"/>
      <c r="K24" s="31" t="str">
        <f>IF(ISBLANK($C24),"",SUM($C24:J24))</f>
        <v/>
      </c>
      <c r="L24" s="32" t="str">
        <f t="shared" si="0"/>
        <v/>
      </c>
      <c r="M24" s="29" t="str">
        <f t="shared" si="1"/>
        <v/>
      </c>
    </row>
    <row r="25" spans="1:13" ht="18" customHeight="1">
      <c r="A25" s="12"/>
      <c r="B25" s="16"/>
      <c r="C25" s="17"/>
      <c r="D25" s="18"/>
      <c r="E25" s="18"/>
      <c r="F25" s="18"/>
      <c r="G25" s="18"/>
      <c r="H25" s="18"/>
      <c r="I25" s="18"/>
      <c r="J25" s="30"/>
      <c r="K25" s="31" t="str">
        <f>IF(ISBLANK($C25),"",SUM($C25:J25))</f>
        <v/>
      </c>
      <c r="L25" s="32" t="str">
        <f t="shared" si="0"/>
        <v/>
      </c>
      <c r="M25" s="29" t="str">
        <f t="shared" si="1"/>
        <v/>
      </c>
    </row>
    <row r="26" spans="1:13" ht="18" customHeight="1">
      <c r="A26" s="12"/>
      <c r="B26" s="16"/>
      <c r="C26" s="17"/>
      <c r="D26" s="18"/>
      <c r="E26" s="18"/>
      <c r="F26" s="18"/>
      <c r="G26" s="18"/>
      <c r="H26" s="18"/>
      <c r="I26" s="18"/>
      <c r="J26" s="30"/>
      <c r="K26" s="31" t="str">
        <f>IF(ISBLANK($C26),"",SUM($C26:J26))</f>
        <v/>
      </c>
      <c r="L26" s="32" t="str">
        <f t="shared" si="0"/>
        <v/>
      </c>
      <c r="M26" s="29" t="str">
        <f t="shared" si="1"/>
        <v/>
      </c>
    </row>
    <row r="27" spans="1:13" ht="18" customHeight="1">
      <c r="A27" s="12"/>
      <c r="B27" s="16"/>
      <c r="C27" s="17"/>
      <c r="D27" s="18"/>
      <c r="E27" s="18"/>
      <c r="F27" s="18"/>
      <c r="G27" s="18"/>
      <c r="H27" s="18"/>
      <c r="I27" s="18"/>
      <c r="J27" s="30"/>
      <c r="K27" s="31" t="str">
        <f>IF(ISBLANK($C27),"",SUM($C27:J27))</f>
        <v/>
      </c>
      <c r="L27" s="32" t="str">
        <f t="shared" si="0"/>
        <v/>
      </c>
      <c r="M27" s="29" t="str">
        <f t="shared" si="1"/>
        <v/>
      </c>
    </row>
    <row r="28" spans="1:13" ht="18" customHeight="1">
      <c r="A28" s="12"/>
      <c r="B28" s="16"/>
      <c r="C28" s="17"/>
      <c r="D28" s="18"/>
      <c r="E28" s="18"/>
      <c r="F28" s="18"/>
      <c r="G28" s="18"/>
      <c r="H28" s="18"/>
      <c r="I28" s="18"/>
      <c r="J28" s="30"/>
      <c r="K28" s="31" t="str">
        <f>IF(ISBLANK($C28),"",SUM($C28:J28))</f>
        <v/>
      </c>
      <c r="L28" s="32" t="str">
        <f t="shared" si="0"/>
        <v/>
      </c>
      <c r="M28" s="29" t="str">
        <f t="shared" si="1"/>
        <v/>
      </c>
    </row>
    <row r="29" spans="1:13" ht="18" customHeight="1">
      <c r="A29" s="12"/>
      <c r="B29" s="16"/>
      <c r="C29" s="17"/>
      <c r="D29" s="18"/>
      <c r="E29" s="18"/>
      <c r="F29" s="18"/>
      <c r="G29" s="18"/>
      <c r="H29" s="18"/>
      <c r="I29" s="18"/>
      <c r="J29" s="30"/>
      <c r="K29" s="31" t="str">
        <f>IF(ISBLANK($C29),"",SUM($C29:J29))</f>
        <v/>
      </c>
      <c r="L29" s="32" t="str">
        <f t="shared" si="0"/>
        <v/>
      </c>
      <c r="M29" s="29" t="str">
        <f t="shared" si="1"/>
        <v/>
      </c>
    </row>
    <row r="30" spans="1:13" ht="18" customHeight="1">
      <c r="A30" s="12"/>
      <c r="B30" s="16"/>
      <c r="C30" s="17"/>
      <c r="D30" s="18"/>
      <c r="E30" s="18"/>
      <c r="F30" s="18"/>
      <c r="G30" s="18"/>
      <c r="H30" s="18"/>
      <c r="I30" s="18"/>
      <c r="J30" s="30"/>
      <c r="K30" s="31" t="str">
        <f>IF(ISBLANK($C30),"",SUM($C30:J30))</f>
        <v/>
      </c>
      <c r="L30" s="32" t="str">
        <f t="shared" si="0"/>
        <v/>
      </c>
      <c r="M30" s="29" t="str">
        <f t="shared" si="1"/>
        <v/>
      </c>
    </row>
    <row r="31" spans="1:13" ht="18" customHeight="1">
      <c r="A31" s="12"/>
      <c r="B31" s="16"/>
      <c r="C31" s="17"/>
      <c r="D31" s="18"/>
      <c r="E31" s="18"/>
      <c r="F31" s="18"/>
      <c r="G31" s="18"/>
      <c r="H31" s="18"/>
      <c r="I31" s="18"/>
      <c r="J31" s="30"/>
      <c r="K31" s="31" t="str">
        <f>IF(ISBLANK($C31),"",SUM($C31:J31))</f>
        <v/>
      </c>
      <c r="L31" s="32" t="str">
        <f t="shared" si="0"/>
        <v/>
      </c>
      <c r="M31" s="29" t="str">
        <f t="shared" si="1"/>
        <v/>
      </c>
    </row>
    <row r="32" spans="1:13" ht="18" customHeight="1">
      <c r="A32" s="12"/>
      <c r="B32" s="16"/>
      <c r="C32" s="17"/>
      <c r="D32" s="18"/>
      <c r="E32" s="18"/>
      <c r="F32" s="18"/>
      <c r="G32" s="18"/>
      <c r="H32" s="18"/>
      <c r="I32" s="18"/>
      <c r="J32" s="30"/>
      <c r="K32" s="31" t="str">
        <f>IF(ISBLANK($C32),"",SUM($C32:J32))</f>
        <v/>
      </c>
      <c r="L32" s="32" t="str">
        <f t="shared" si="0"/>
        <v/>
      </c>
      <c r="M32" s="29" t="str">
        <f t="shared" si="1"/>
        <v/>
      </c>
    </row>
    <row r="33" spans="1:13" ht="18" customHeight="1">
      <c r="A33" s="12"/>
      <c r="B33" s="16"/>
      <c r="C33" s="17"/>
      <c r="D33" s="18"/>
      <c r="E33" s="18"/>
      <c r="F33" s="18"/>
      <c r="G33" s="18"/>
      <c r="H33" s="18"/>
      <c r="I33" s="18"/>
      <c r="J33" s="30"/>
      <c r="K33" s="31" t="str">
        <f>IF(ISBLANK($C33),"",SUM($C33:J33))</f>
        <v/>
      </c>
      <c r="L33" s="32" t="str">
        <f t="shared" si="0"/>
        <v/>
      </c>
      <c r="M33" s="29" t="str">
        <f t="shared" si="1"/>
        <v/>
      </c>
    </row>
    <row r="34" spans="1:13" ht="18" customHeight="1">
      <c r="A34" s="12"/>
      <c r="B34" s="16"/>
      <c r="C34" s="17"/>
      <c r="D34" s="18"/>
      <c r="E34" s="18"/>
      <c r="F34" s="18"/>
      <c r="G34" s="18"/>
      <c r="H34" s="18"/>
      <c r="I34" s="18"/>
      <c r="J34" s="30"/>
      <c r="K34" s="31" t="str">
        <f>IF(ISBLANK($C34),"",SUM($C34:J34))</f>
        <v/>
      </c>
      <c r="L34" s="32" t="str">
        <f t="shared" si="0"/>
        <v/>
      </c>
      <c r="M34" s="29" t="str">
        <f t="shared" si="1"/>
        <v/>
      </c>
    </row>
    <row r="35" spans="1:13" ht="18" customHeight="1">
      <c r="A35" s="12"/>
      <c r="B35" s="16"/>
      <c r="C35" s="17"/>
      <c r="D35" s="18"/>
      <c r="E35" s="18"/>
      <c r="F35" s="18"/>
      <c r="G35" s="18"/>
      <c r="H35" s="18"/>
      <c r="I35" s="18"/>
      <c r="J35" s="30"/>
      <c r="K35" s="31" t="str">
        <f>IF(ISBLANK($C35),"",SUM($C35:J35))</f>
        <v/>
      </c>
      <c r="L35" s="32" t="str">
        <f t="shared" si="0"/>
        <v/>
      </c>
      <c r="M35" s="29" t="str">
        <f t="shared" si="1"/>
        <v/>
      </c>
    </row>
    <row r="36" spans="1:13" ht="18" customHeight="1">
      <c r="A36" s="12"/>
      <c r="B36" s="16"/>
      <c r="C36" s="17"/>
      <c r="D36" s="18"/>
      <c r="E36" s="18"/>
      <c r="F36" s="18"/>
      <c r="G36" s="18"/>
      <c r="H36" s="18"/>
      <c r="I36" s="18"/>
      <c r="J36" s="30"/>
      <c r="K36" s="31" t="str">
        <f>IF(ISBLANK($C36),"",SUM($C36:J36))</f>
        <v/>
      </c>
      <c r="L36" s="32" t="str">
        <f t="shared" si="0"/>
        <v/>
      </c>
      <c r="M36" s="29" t="str">
        <f t="shared" si="1"/>
        <v/>
      </c>
    </row>
    <row r="37" spans="1:13" ht="18" customHeight="1">
      <c r="A37" s="12"/>
      <c r="B37" s="16"/>
      <c r="C37" s="17"/>
      <c r="D37" s="18"/>
      <c r="E37" s="18"/>
      <c r="F37" s="18"/>
      <c r="G37" s="18"/>
      <c r="H37" s="18"/>
      <c r="I37" s="18"/>
      <c r="J37" s="30"/>
      <c r="K37" s="31" t="str">
        <f>IF(ISBLANK($C37),"",SUM($C37:J37))</f>
        <v/>
      </c>
      <c r="L37" s="32" t="str">
        <f t="shared" si="0"/>
        <v/>
      </c>
      <c r="M37" s="29" t="str">
        <f t="shared" si="1"/>
        <v/>
      </c>
    </row>
    <row r="38" spans="1:13" ht="18" customHeight="1">
      <c r="A38" s="12"/>
      <c r="B38" s="19"/>
      <c r="C38" s="20"/>
      <c r="D38" s="21"/>
      <c r="E38" s="21"/>
      <c r="F38" s="21"/>
      <c r="G38" s="21"/>
      <c r="H38" s="21"/>
      <c r="I38" s="21"/>
      <c r="J38" s="33"/>
      <c r="K38" s="34" t="str">
        <f>IF(ISBLANK($C38),"",SUM($C38:J38))</f>
        <v/>
      </c>
      <c r="L38" s="35" t="str">
        <f t="shared" ref="L38:L48" si="2">IF(ISBLANK(C38),"",AVERAGE(C38:J38)+H$2)</f>
        <v/>
      </c>
      <c r="M38" s="29" t="str">
        <f t="shared" si="1"/>
        <v/>
      </c>
    </row>
    <row r="39" spans="1:13">
      <c r="A39" s="12"/>
      <c r="B39" s="5"/>
      <c r="C39" s="22"/>
      <c r="D39" s="22"/>
      <c r="E39" s="22"/>
      <c r="F39" s="22"/>
      <c r="G39" s="22"/>
      <c r="H39" s="22"/>
      <c r="I39" s="22"/>
      <c r="J39" s="4"/>
      <c r="K39" s="3" t="str">
        <f>IF(ISBLANK($C39),"",SUM($C39:J39))</f>
        <v/>
      </c>
      <c r="L39" s="3" t="str">
        <f t="shared" si="2"/>
        <v/>
      </c>
      <c r="M39" s="2" t="str">
        <f t="shared" si="1"/>
        <v/>
      </c>
    </row>
    <row r="40" spans="1:13">
      <c r="A40" s="12"/>
      <c r="B40" s="5"/>
      <c r="C40" s="22"/>
      <c r="D40" s="22"/>
      <c r="E40" s="22"/>
      <c r="F40" s="22"/>
      <c r="G40" s="22"/>
      <c r="H40" s="22"/>
      <c r="I40" s="22"/>
      <c r="J40" s="4"/>
      <c r="K40" s="3" t="str">
        <f>IF(ISBLANK($C40),"",SUM($C40:J40))</f>
        <v/>
      </c>
      <c r="L40" s="3" t="str">
        <f t="shared" si="2"/>
        <v/>
      </c>
      <c r="M40" s="2" t="str">
        <f t="shared" si="1"/>
        <v/>
      </c>
    </row>
    <row r="41" spans="1:13">
      <c r="A41" s="12"/>
      <c r="B41" s="5"/>
      <c r="C41" s="22"/>
      <c r="D41" s="22"/>
      <c r="E41" s="22"/>
      <c r="F41" s="22"/>
      <c r="G41" s="22"/>
      <c r="H41" s="22"/>
      <c r="I41" s="22"/>
      <c r="J41" s="4"/>
      <c r="K41" s="3" t="str">
        <f>IF(ISBLANK($C41),"",SUM($C41:J41))</f>
        <v/>
      </c>
      <c r="L41" s="3" t="str">
        <f t="shared" si="2"/>
        <v/>
      </c>
      <c r="M41" s="2" t="str">
        <f t="shared" si="1"/>
        <v/>
      </c>
    </row>
    <row r="42" spans="1:13">
      <c r="A42" s="12"/>
      <c r="B42" s="5"/>
      <c r="C42" s="4"/>
      <c r="D42" s="4"/>
      <c r="E42" s="4"/>
      <c r="F42" s="4"/>
      <c r="G42" s="4"/>
      <c r="H42" s="4"/>
      <c r="I42" s="4"/>
      <c r="J42" s="4"/>
      <c r="K42" s="3" t="str">
        <f>IF(ISBLANK($C42),"",SUM($C42:J42))</f>
        <v/>
      </c>
      <c r="L42" s="3" t="str">
        <f t="shared" si="2"/>
        <v/>
      </c>
      <c r="M42" s="2" t="str">
        <f t="shared" si="1"/>
        <v/>
      </c>
    </row>
    <row r="43" spans="1:13">
      <c r="A43" s="12"/>
      <c r="B43" s="5"/>
      <c r="C43" s="4"/>
      <c r="D43" s="4"/>
      <c r="E43" s="4"/>
      <c r="F43" s="4"/>
      <c r="G43" s="4"/>
      <c r="H43" s="4"/>
      <c r="I43" s="4"/>
      <c r="J43" s="4"/>
      <c r="K43" s="3" t="str">
        <f>IF(ISBLANK($C43),"",SUM($C43:J43))</f>
        <v/>
      </c>
      <c r="L43" s="3" t="str">
        <f t="shared" si="2"/>
        <v/>
      </c>
      <c r="M43" s="2" t="str">
        <f t="shared" si="1"/>
        <v/>
      </c>
    </row>
    <row r="44" spans="1:13">
      <c r="A44" s="12"/>
      <c r="B44" s="5"/>
      <c r="C44" s="4"/>
      <c r="D44" s="4"/>
      <c r="E44" s="4"/>
      <c r="F44" s="4"/>
      <c r="G44" s="4"/>
      <c r="H44" s="4"/>
      <c r="I44" s="4"/>
      <c r="J44" s="4"/>
      <c r="K44" s="3" t="str">
        <f>IF(ISBLANK($C44),"",SUM($C44:J44))</f>
        <v/>
      </c>
      <c r="L44" s="3" t="str">
        <f t="shared" si="2"/>
        <v/>
      </c>
      <c r="M44" s="2" t="str">
        <f t="shared" si="1"/>
        <v/>
      </c>
    </row>
    <row r="45" spans="1:13">
      <c r="A45" s="12"/>
      <c r="B45" s="5"/>
      <c r="C45" s="4"/>
      <c r="D45" s="4"/>
      <c r="E45" s="4"/>
      <c r="F45" s="4"/>
      <c r="G45" s="4"/>
      <c r="H45" s="4"/>
      <c r="I45" s="4"/>
      <c r="J45" s="4"/>
      <c r="K45" s="3" t="str">
        <f>IF(ISBLANK($C45),"",SUM($C45:J45))</f>
        <v/>
      </c>
      <c r="L45" s="3" t="str">
        <f t="shared" si="2"/>
        <v/>
      </c>
      <c r="M45" s="2" t="str">
        <f t="shared" si="1"/>
        <v/>
      </c>
    </row>
    <row r="46" spans="1:13">
      <c r="A46" s="12"/>
      <c r="B46" s="5"/>
      <c r="C46" s="4"/>
      <c r="D46" s="4"/>
      <c r="E46" s="4"/>
      <c r="F46" s="4"/>
      <c r="G46" s="4"/>
      <c r="H46" s="4"/>
      <c r="I46" s="4"/>
      <c r="J46" s="4"/>
      <c r="K46" s="3" t="str">
        <f>IF(ISBLANK($C46),"",SUM($C46:J46))</f>
        <v/>
      </c>
      <c r="L46" s="3" t="str">
        <f t="shared" si="2"/>
        <v/>
      </c>
      <c r="M46" s="2" t="str">
        <f t="shared" si="1"/>
        <v/>
      </c>
    </row>
    <row r="47" spans="1:13">
      <c r="A47" s="12"/>
      <c r="B47" s="5"/>
      <c r="C47" s="4"/>
      <c r="D47" s="4"/>
      <c r="E47" s="4"/>
      <c r="F47" s="4"/>
      <c r="G47" s="4"/>
      <c r="H47" s="4"/>
      <c r="I47" s="4"/>
      <c r="J47" s="4"/>
      <c r="K47" s="3" t="str">
        <f>IF(ISBLANK($C47),"",SUM($C47:J47))</f>
        <v/>
      </c>
      <c r="L47" s="3" t="str">
        <f t="shared" si="2"/>
        <v/>
      </c>
      <c r="M47" s="2" t="str">
        <f t="shared" si="1"/>
        <v/>
      </c>
    </row>
    <row r="48" spans="1:13">
      <c r="A48" s="12"/>
      <c r="B48" s="5"/>
      <c r="C48" s="4"/>
      <c r="D48" s="4"/>
      <c r="E48" s="4"/>
      <c r="F48" s="4"/>
      <c r="G48" s="4"/>
      <c r="H48" s="4"/>
      <c r="I48" s="4"/>
      <c r="J48" s="4"/>
      <c r="K48" s="3" t="str">
        <f>IF(ISBLANK($C48),"",SUM($C48:J48))</f>
        <v/>
      </c>
      <c r="L48" s="3" t="str">
        <f t="shared" si="2"/>
        <v/>
      </c>
      <c r="M48" s="2" t="str">
        <f t="shared" si="1"/>
        <v/>
      </c>
    </row>
    <row r="49" spans="1:13">
      <c r="A49" s="12"/>
      <c r="B49" s="5"/>
      <c r="C49" s="4"/>
      <c r="D49" s="4"/>
      <c r="E49" s="4"/>
      <c r="F49" s="4"/>
      <c r="G49" s="4"/>
      <c r="H49" s="4"/>
      <c r="I49" s="4"/>
      <c r="J49" s="4"/>
      <c r="K49" s="3" t="str">
        <f>IF(ISBLANK($C49),"",SUM($C49:J49))</f>
        <v/>
      </c>
      <c r="L49" s="3" t="str">
        <f t="shared" ref="L49:L50" si="3">IF(ISBLANK(C49),"",AVERAGE(C49:J49)+H$2)</f>
        <v/>
      </c>
      <c r="M49" s="2" t="str">
        <f t="shared" si="1"/>
        <v/>
      </c>
    </row>
    <row r="50" spans="1:13">
      <c r="K50" s="3" t="str">
        <f>IF(ISBLANK($C50),"",SUM($C50:J50))</f>
        <v/>
      </c>
      <c r="L50" s="3" t="str">
        <f t="shared" si="3"/>
        <v/>
      </c>
      <c r="M50" s="2" t="str">
        <f t="shared" si="1"/>
        <v/>
      </c>
    </row>
  </sheetData>
  <sheetProtection sheet="1" objects="1" selectLockedCells="1"/>
  <mergeCells count="13">
    <mergeCell ref="B1:L1"/>
    <mergeCell ref="I2:J2"/>
    <mergeCell ref="K2:L2"/>
    <mergeCell ref="B3:B4"/>
    <mergeCell ref="C3:C4"/>
    <mergeCell ref="D3:D4"/>
    <mergeCell ref="E3:E4"/>
    <mergeCell ref="F3:F4"/>
    <mergeCell ref="G3:G4"/>
    <mergeCell ref="H3:H4"/>
    <mergeCell ref="I3:I4"/>
    <mergeCell ref="J3:J4"/>
    <mergeCell ref="K3:K4"/>
  </mergeCells>
  <phoneticPr fontId="5" type="noConversion"/>
  <conditionalFormatting sqref="L5:L38">
    <cfRule type="cellIs" dxfId="5" priority="4" stopIfTrue="1" operator="between">
      <formula>80</formula>
      <formula>90</formula>
    </cfRule>
    <cfRule type="cellIs" dxfId="4" priority="5" stopIfTrue="1" operator="between">
      <formula>76</formula>
      <formula>79</formula>
    </cfRule>
    <cfRule type="cellIs" dxfId="3" priority="6" stopIfTrue="1" operator="lessThan">
      <formula>60</formula>
    </cfRule>
  </conditionalFormatting>
  <conditionalFormatting sqref="M5:M38">
    <cfRule type="cellIs" dxfId="2" priority="1" stopIfTrue="1" operator="between">
      <formula>80</formula>
      <formula>90</formula>
    </cfRule>
    <cfRule type="cellIs" dxfId="1" priority="2" stopIfTrue="1" operator="between">
      <formula>76</formula>
      <formula>79</formula>
    </cfRule>
    <cfRule type="cellIs" dxfId="0" priority="3" stopIfTrue="1" operator="lessThan">
      <formula>60</formula>
    </cfRule>
  </conditionalFormatting>
  <dataValidations count="3">
    <dataValidation type="whole" allowBlank="1" showInputMessage="1" showErrorMessage="1" sqref="H2">
      <formula1>-20</formula1>
      <formula2>20</formula2>
    </dataValidation>
    <dataValidation showInputMessage="1" showErrorMessage="1" sqref="C3:J3"/>
    <dataValidation type="whole" allowBlank="1" showInputMessage="1" showErrorMessage="1" sqref="C5:I41">
      <formula1>0</formula1>
      <formula2>100</formula2>
    </dataValidation>
  </dataValidations>
  <pageMargins left="0.74803149606299202" right="0.74803149606299202" top="0.98425196850393704" bottom="0.98425196850393704" header="0.511811023622047" footer="0.511811023622047"/>
  <pageSetup paperSize="9" orientation="portrait" horizontalDpi="7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Sheet1.upData">
                <anchor moveWithCells="1" sizeWithCells="1">
                  <from>
                    <xdr:col>13</xdr:col>
                    <xdr:colOff>9525</xdr:colOff>
                    <xdr:row>3</xdr:row>
                    <xdr:rowOff>0</xdr:rowOff>
                  </from>
                  <to>
                    <xdr:col>14</xdr:col>
                    <xdr:colOff>38100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成绩录入</vt:lpstr>
      <vt:lpstr>AVE</vt:lpstr>
    </vt:vector>
  </TitlesOfParts>
  <Company>ICOS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iCura</cp:lastModifiedBy>
  <dcterms:created xsi:type="dcterms:W3CDTF">2019-04-05T02:59:00Z</dcterms:created>
  <dcterms:modified xsi:type="dcterms:W3CDTF">2019-05-29T09:09:37Z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2052-11.8.2.8053</vt:lpwstr>
  </property>
</Properties>
</file>